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eal Estate Websites" sheetId="2" state="visible" r:id="rId4"/>
    <sheet name="Digital Commerce" sheetId="3" state="visible" r:id="rId5"/>
    <sheet name="Web &amp; Mobile Apps" sheetId="4" state="visible" r:id="rId6"/>
    <sheet name="Retainers &amp; Add-ons" sheetId="5" state="visible" r:id="rId7"/>
    <sheet name="Market Benchmar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<sst xmlns="http://schemas.openxmlformats.org/spreadsheetml/2006/main" count="161" uniqueCount="138">
  <si>
    <t xml:space="preserve">FSK Codehouse Corp. — Service Pricing Structure</t>
  </si>
  <si>
    <t xml:space="preserve">Positioning</t>
  </si>
  <si>
    <t xml:space="preserve">Built from the Philippines, delivered to global standards. Rates sit above budget PH freelance work and template shops, and below premium US/EU agency pricing — reflecting senior, end-to-end delivery (strategy, design, engineering, launch, support) at PH-based cost efficiency.</t>
  </si>
  <si>
    <t xml:space="preserve">Reference exchange rate (USD → PHP)</t>
  </si>
  <si>
    <t xml:space="preserve">As of Jul 22, 2026 (source: XE.com). Update this cell — all PHP prices recalculate automatically.</t>
  </si>
  <si>
    <t xml:space="preserve">How to use this workbook</t>
  </si>
  <si>
    <t xml:space="preserve">• Blue text on a yellow cell = an input you can edit (e.g. the exchange rate above).</t>
  </si>
  <si>
    <t xml:space="preserve">• Every PHP column is a formula off the USD price and the exchange rate — edit USD prices, PHP updates itself.</t>
  </si>
  <si>
    <t xml:space="preserve">• Each service line has its own tab with three tiers. Add-ons &amp; retainers are on their own tab.</t>
  </si>
  <si>
    <t xml:space="preserve">• Market Benchmarks tab has the research this pricing is based on, with sources.</t>
  </si>
  <si>
    <t xml:space="preserve">Engagement Models</t>
  </si>
  <si>
    <t xml:space="preserve">Model</t>
  </si>
  <si>
    <t xml:space="preserve">How it's priced</t>
  </si>
  <si>
    <t xml:space="preserve">Best for</t>
  </si>
  <si>
    <t xml:space="preserve">Build for you</t>
  </si>
  <si>
    <t xml:space="preserve">Fixed project price by tier (see service tabs). 30–50% deposit, balance on milestones/delivery.</t>
  </si>
  <si>
    <t xml:space="preserve">Clients with a defined scope: a website, storefront, or app to launch.</t>
  </si>
  <si>
    <t xml:space="preserve">Build with you</t>
  </si>
  <si>
    <t xml:space="preserve">Reduced cash rate + equity, revenue share, or long-term retainer, negotiated per partnership.</t>
  </si>
  <si>
    <t xml:space="preserve">Strong founders/ideas where FSK becomes a technical co-builder.</t>
  </si>
  <si>
    <t xml:space="preserve">Built by FSK</t>
  </si>
  <si>
    <t xml:space="preserve">Not billed — internal investment in FSK-owned products (e.g. Lenso).</t>
  </si>
  <si>
    <t xml:space="preserve">Internal only. Not quoted to clients.</t>
  </si>
  <si>
    <t xml:space="preserve">Real Estate Websites</t>
  </si>
  <si>
    <t xml:space="preserve">Property websites, searchable listings, agent pages, inquiry flows, and inventory tools.</t>
  </si>
  <si>
    <t xml:space="preserve">Tier</t>
  </si>
  <si>
    <t xml:space="preserve">USD Low</t>
  </si>
  <si>
    <t xml:space="preserve">USD High</t>
  </si>
  <si>
    <t xml:space="preserve">PHP Low</t>
  </si>
  <si>
    <t xml:space="preserve">PHP High</t>
  </si>
  <si>
    <t xml:space="preserve">Typical Timeline</t>
  </si>
  <si>
    <t xml:space="preserve">What's Included / Best For</t>
  </si>
  <si>
    <t xml:space="preserve">Starter</t>
  </si>
  <si>
    <t xml:space="preserve">2–3 weeks</t>
  </si>
  <si>
    <t xml:space="preserve">Template-based property site: 1 property type, static listings, contact/inquiry form, mobile-friendly. Best for a single agent testing an online presence.</t>
  </si>
  <si>
    <t xml:space="preserve">Growth (Semi-Custom)</t>
  </si>
  <si>
    <t xml:space="preserve">4–8 weeks</t>
  </si>
  <si>
    <t xml:space="preserve">Semi-custom design, searchable/filterable listings, agent profile pages, lead-capture forms, basic CMS for updating inventory. Best for active agents or small teams.</t>
  </si>
  <si>
    <t xml:space="preserve">Custom Platform</t>
  </si>
  <si>
    <t xml:space="preserve">10–16 weeks</t>
  </si>
  <si>
    <t xml:space="preserve">Fully custom design and back-end, multi-agent/brokerage support, advanced search &amp; filters, admin dashboard, integrations (CRM, IDX-equivalent feeds). Best for brokerages and growing portfolios.</t>
  </si>
  <si>
    <t xml:space="preserve">Common add-ons</t>
  </si>
  <si>
    <t xml:space="preserve">Add-on</t>
  </si>
  <si>
    <t xml:space="preserve">Listing feed / IDX-equivalent integration</t>
  </si>
  <si>
    <t xml:space="preserve">Extra language / localization</t>
  </si>
  <si>
    <t xml:space="preserve">Property CRM integration</t>
  </si>
  <si>
    <t xml:space="preserve">Digital Commerce</t>
  </si>
  <si>
    <t xml:space="preserve">Storefronts for templates, downloads, memberships, and other digital goods.</t>
  </si>
  <si>
    <t xml:space="preserve">Starter Storefront</t>
  </si>
  <si>
    <t xml:space="preserve">2–4 weeks</t>
  </si>
  <si>
    <t xml:space="preserve">Template-based store, single product line, payment processing, automated digital delivery. Best for a first digital product launch.</t>
  </si>
  <si>
    <t xml:space="preserve">5–9 weeks</t>
  </si>
  <si>
    <t xml:space="preserve">Semi-custom storefront design, multiple product lines, membership/subscription support, upsell flows, basic analytics. Best for growing digital product businesses.</t>
  </si>
  <si>
    <t xml:space="preserve">Custom Commerce Platform</t>
  </si>
  <si>
    <t xml:space="preserve">10–18 weeks</t>
  </si>
  <si>
    <t xml:space="preserve">Fully custom storefront and checkout experience, multi-product catalog, membership tiers, custom admin tooling, third-party integrations (email, CRM, analytics). Best for established brands scaling digital sales.</t>
  </si>
  <si>
    <t xml:space="preserve">Web &amp; Mobile Apps</t>
  </si>
  <si>
    <t xml:space="preserve">Production-ready software for clients, co-build partnerships, and FSK-owned products.</t>
  </si>
  <si>
    <t xml:space="preserve">MVP</t>
  </si>
  <si>
    <t xml:space="preserve">8–12 weeks</t>
  </si>
  <si>
    <t xml:space="preserve">Single-platform app (web or one mobile OS), core feature set only, ships fast to validate the idea with real users. Best for founders testing a concept.</t>
  </si>
  <si>
    <t xml:space="preserve">Mid-Complexity</t>
  </si>
  <si>
    <t xml:space="preserve">12–20 weeks</t>
  </si>
  <si>
    <t xml:space="preserve">Multi-platform (web + iOS/Android, or full-stack web app), custom backend, authentication, payments/subscriptions, admin tooling. Best for funded startups and established businesses.</t>
  </si>
  <si>
    <t xml:space="preserve">Full Product Build</t>
  </si>
  <si>
    <t xml:space="preserve">20+ weeks</t>
  </si>
  <si>
    <t xml:space="preserve">Feature-rich, multi-platform product with ongoing iteration. Typically paired with a 'Build with you' partnership rather than a one-off fixed price.</t>
  </si>
  <si>
    <t xml:space="preserve">Retainers &amp; Add-ons</t>
  </si>
  <si>
    <t xml:space="preserve">Ongoing care plans after launch, billed monthly.</t>
  </si>
  <si>
    <t xml:space="preserve">Plan</t>
  </si>
  <si>
    <t xml:space="preserve">USD / month</t>
  </si>
  <si>
    <t xml:space="preserve">PHP / month</t>
  </si>
  <si>
    <t xml:space="preserve">Response Time</t>
  </si>
  <si>
    <t xml:space="preserve">What's Included</t>
  </si>
  <si>
    <t xml:space="preserve">Basic Care</t>
  </si>
  <si>
    <t xml:space="preserve">2 business days</t>
  </si>
  <si>
    <t xml:space="preserve">Uptime monitoring, security patches, bug fixes, monthly health-check email.</t>
  </si>
  <si>
    <t xml:space="preserve">Growth Care</t>
  </si>
  <si>
    <t xml:space="preserve">1 business day</t>
  </si>
  <si>
    <t xml:space="preserve">Everything in Basic, plus minor feature updates (up to 4 hrs/mo), monthly performance report.</t>
  </si>
  <si>
    <t xml:space="preserve">Priority Care</t>
  </si>
  <si>
    <t xml:space="preserve">Same business day</t>
  </si>
  <si>
    <t xml:space="preserve">Everything in Growth, plus dedicated Slack/chat channel, priority queue for urgent fixes, up to 10 hrs/mo of feature work.</t>
  </si>
  <si>
    <t xml:space="preserve">One-off add-ons</t>
  </si>
  <si>
    <t xml:space="preserve">Notes</t>
  </si>
  <si>
    <t xml:space="preserve">SEO retainer (separate from Care plans)</t>
  </si>
  <si>
    <t xml:space="preserve">Monthly; scope depends on keyword competitiveness.</t>
  </si>
  <si>
    <t xml:space="preserve">App Store / Play Store submission &amp; setup</t>
  </si>
  <si>
    <t xml:space="preserve">Per platform, one-time.</t>
  </si>
  <si>
    <t xml:space="preserve">Extra design round beyond agreed revisions</t>
  </si>
  <si>
    <t xml:space="preserve">Billed per round.</t>
  </si>
  <si>
    <t xml:space="preserve">Rush delivery (compressed timeline)</t>
  </si>
  <si>
    <t xml:space="preserve">+20%</t>
  </si>
  <si>
    <t xml:space="preserve">+40%</t>
  </si>
  <si>
    <t xml:space="preserve">Applied on top of tier price.</t>
  </si>
  <si>
    <t xml:space="preserve">Market Benchmarks (Research, Jul 2026)</t>
  </si>
  <si>
    <t xml:space="preserve">Category</t>
  </si>
  <si>
    <t xml:space="preserve">Benchmark Range Found</t>
  </si>
  <si>
    <t xml:space="preserve">Source</t>
  </si>
  <si>
    <t xml:space="preserve">Real estate website (global, agent)</t>
  </si>
  <si>
    <t xml:space="preserve">$2,000 – $45,000+; typical $4,000–$12,000 for solo agents</t>
  </si>
  <si>
    <t xml:space="preserve">Symilars, Luxury Presence</t>
  </si>
  <si>
    <t xml:space="preserve">FSK Starter/Growth tiers sit near or below the low-mid end of this range.</t>
  </si>
  <si>
    <t xml:space="preserve">Real estate website (team/brokerage)</t>
  </si>
  <si>
    <t xml:space="preserve">$12,000 – $30,000</t>
  </si>
  <si>
    <t xml:space="preserve">Luxury Presence</t>
  </si>
  <si>
    <t xml:space="preserve">FSK Custom Platform tier is positioned inside this band.</t>
  </si>
  <si>
    <t xml:space="preserve">IDX / listing feed integration</t>
  </si>
  <si>
    <t xml:space="preserve">$1,500 – $5,000</t>
  </si>
  <si>
    <t xml:space="preserve">FSK add-on priced below this to stay competitive as a PH-based provider.</t>
  </si>
  <si>
    <t xml:space="preserve">Ecommerce website (template)</t>
  </si>
  <si>
    <t xml:space="preserve">$1,000 – $5,000</t>
  </si>
  <si>
    <t xml:space="preserve">Shopify, BigCommerce</t>
  </si>
  <si>
    <t xml:space="preserve">FSK Starter Storefront undercuts the low end slightly.</t>
  </si>
  <si>
    <t xml:space="preserve">Ecommerce website (semi-custom)</t>
  </si>
  <si>
    <t xml:space="preserve">$10,000 – $30,000</t>
  </si>
  <si>
    <t xml:space="preserve">FSK Growth tier sits below this band.</t>
  </si>
  <si>
    <t xml:space="preserve">Ecommerce website (fully custom)</t>
  </si>
  <si>
    <t xml:space="preserve">$40,000 – $150,000+</t>
  </si>
  <si>
    <t xml:space="preserve">Shopify, BigCommerce, Fyresite</t>
  </si>
  <si>
    <t xml:space="preserve">FSK Custom Commerce priced well under this — reflects PH cost base.</t>
  </si>
  <si>
    <t xml:space="preserve">Mobile/web app (simple)</t>
  </si>
  <si>
    <t xml:space="preserve">$10,000 – $50,000 (global agencies)</t>
  </si>
  <si>
    <t xml:space="preserve">TopFlight Apps, Cynoteck</t>
  </si>
  <si>
    <t xml:space="preserve">FSK MVP tier priced at the low end, reflecting leaner PH-based delivery.</t>
  </si>
  <si>
    <t xml:space="preserve">Mobile/web app (mid-complexity)</t>
  </si>
  <si>
    <t xml:space="preserve">$30,000 – $150,000</t>
  </si>
  <si>
    <t xml:space="preserve">TopFlight Apps, SSNTPL</t>
  </si>
  <si>
    <t xml:space="preserve">FSK Mid-Complexity tier priced toward the lower half.</t>
  </si>
  <si>
    <t xml:space="preserve">Hourly dev rates (global)</t>
  </si>
  <si>
    <t xml:space="preserve">Junior $25–45/hr, Mid $50–90/hr, Senior $100–200/hr</t>
  </si>
  <si>
    <t xml:space="preserve">Cynoteck, Topflightapps</t>
  </si>
  <si>
    <t xml:space="preserve">For reference only — FSK quotes fixed project prices, not hourly.</t>
  </si>
  <si>
    <t xml:space="preserve">PH web/software dev market</t>
  </si>
  <si>
    <t xml:space="preserve">Simple sites ₱12k–45k (~$200–750); custom ₱200k–1M+ ($3,200–$16,000+); PH dev hourly $20–55/hr</t>
  </si>
  <si>
    <t xml:space="preserve">Hireplicity, Qadra Studio, Praferosa Webworks</t>
  </si>
  <si>
    <t xml:space="preserve">FSK prices above pure local-market rates to reflect 'global standards' positioning, but below premium US/EU agencies.</t>
  </si>
  <si>
    <t xml:space="preserve">Research conducted via live web search, July 22, 2026. Figures are directional market ranges, not quotes — confirm current rates before publishing final prices.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</si>
</sst>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₱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1"/>
      <color rgb="FF1F2937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58B9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B616E"/>
      <name val="Arial"/>
      <family val="0"/>
      <charset val="1"/>
    </font>
    <font>
      <b val="true"/>
      <sz val="11"/>
      <color rgb="FF4F46E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318"/>
        <bgColor rgb="FF000000"/>
      </patternFill>
    </fill>
    <fill>
      <patternFill patternType="solid">
        <fgColor rgb="FFFFF9DB"/>
        <bgColor rgb="FFF7F8FA"/>
      </patternFill>
    </fill>
    <fill>
      <patternFill patternType="solid">
        <fgColor rgb="FF4F46E5"/>
        <bgColor rgb="FF333399"/>
      </patternFill>
    </fill>
    <fill>
      <patternFill patternType="solid">
        <fgColor rgb="FFF7F8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EAED"/>
      </left>
      <right style="thin">
        <color rgb="FFE8EAED"/>
      </right>
      <top style="thin">
        <color rgb="FFE8EAED"/>
      </top>
      <bottom style="thin">
        <color rgb="FFE8EA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58B97"/>
      <rgbColor rgb="FF9999FF"/>
      <rgbColor rgb="FF993366"/>
      <rgbColor rgb="FFFFF9DB"/>
      <rgbColor rgb="FFE8EA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8FA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5B616E"/>
      <rgbColor rgb="FF969696"/>
      <rgbColor rgb="FF003366"/>
      <rgbColor rgb="FF339966"/>
      <rgbColor rgb="FF111318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0"/>
    <col collapsed="false" customWidth="true" hidden="false" outlineLevel="0" max="5" min="4" style="0" width="18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</row>
    <row r="4" customFormat="false" ht="15" hidden="false" customHeight="false" outlineLevel="0" collapsed="false">
      <c r="A4" s="2" t="s">
        <v>1</v>
      </c>
    </row>
    <row r="5" customFormat="false" ht="15" hidden="false" customHeight="true" outlineLevel="0" collapsed="false">
      <c r="A5" s="3" t="s">
        <v>2</v>
      </c>
      <c r="B5" s="3"/>
      <c r="C5" s="3"/>
      <c r="D5" s="3"/>
      <c r="E5" s="3"/>
      <c r="F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</row>
    <row r="8" customFormat="false" ht="15" hidden="false" customHeight="false" outlineLevel="0" collapsed="false">
      <c r="A8" s="2" t="s">
        <v>3</v>
      </c>
      <c r="B8" s="4" t="n">
        <v>61.75</v>
      </c>
      <c r="C8" s="5" t="s">
        <v>4</v>
      </c>
      <c r="D8" s="5"/>
      <c r="E8" s="5"/>
      <c r="F8" s="5"/>
    </row>
    <row r="10" customFormat="false" ht="15" hidden="false" customHeight="false" outlineLevel="0" collapsed="false">
      <c r="A10" s="2" t="s">
        <v>5</v>
      </c>
    </row>
    <row r="11" customFormat="false" ht="15" hidden="false" customHeight="false" outlineLevel="0" collapsed="false">
      <c r="A11" s="6" t="s">
        <v>6</v>
      </c>
      <c r="B11" s="6"/>
      <c r="C11" s="6"/>
      <c r="D11" s="6"/>
      <c r="E11" s="6"/>
      <c r="F11" s="6"/>
    </row>
    <row r="12" customFormat="false" ht="15" hidden="false" customHeight="false" outlineLevel="0" collapsed="false">
      <c r="A12" s="6" t="s">
        <v>7</v>
      </c>
      <c r="B12" s="6"/>
      <c r="C12" s="6"/>
      <c r="D12" s="6"/>
      <c r="E12" s="6"/>
      <c r="F12" s="6"/>
    </row>
    <row r="13" customFormat="false" ht="15" hidden="false" customHeight="false" outlineLevel="0" collapsed="false">
      <c r="A13" s="6" t="s">
        <v>8</v>
      </c>
      <c r="B13" s="6"/>
      <c r="C13" s="6"/>
      <c r="D13" s="6"/>
      <c r="E13" s="6"/>
      <c r="F13" s="6"/>
    </row>
    <row r="14" customFormat="false" ht="15" hidden="false" customHeight="false" outlineLevel="0" collapsed="false">
      <c r="A14" s="6" t="s">
        <v>9</v>
      </c>
      <c r="B14" s="6"/>
      <c r="C14" s="6"/>
      <c r="D14" s="6"/>
      <c r="E14" s="6"/>
      <c r="F14" s="6"/>
    </row>
    <row r="17" customFormat="false" ht="15" hidden="false" customHeight="false" outlineLevel="0" collapsed="false">
      <c r="A17" s="2" t="s">
        <v>10</v>
      </c>
    </row>
    <row r="18" customFormat="false" ht="15" hidden="false" customHeight="false" outlineLevel="0" collapsed="false">
      <c r="A18" s="7" t="s">
        <v>11</v>
      </c>
      <c r="B18" s="7" t="s">
        <v>12</v>
      </c>
      <c r="C18" s="7" t="s">
        <v>13</v>
      </c>
    </row>
    <row r="19" customFormat="false" ht="39.55" hidden="false" customHeight="false" outlineLevel="0" collapsed="false">
      <c r="A19" s="8" t="s">
        <v>14</v>
      </c>
      <c r="B19" s="8" t="s">
        <v>15</v>
      </c>
      <c r="C19" s="8" t="s">
        <v>16</v>
      </c>
    </row>
    <row r="20" customFormat="false" ht="52.2" hidden="false" customHeight="false" outlineLevel="0" collapsed="false">
      <c r="A20" s="9" t="s">
        <v>17</v>
      </c>
      <c r="B20" s="9" t="s">
        <v>18</v>
      </c>
      <c r="C20" s="9" t="s">
        <v>19</v>
      </c>
    </row>
    <row r="21" customFormat="false" ht="39.55" hidden="false" customHeight="false" outlineLevel="0" collapsed="false">
      <c r="A21" s="8" t="s">
        <v>20</v>
      </c>
      <c r="B21" s="8" t="s">
        <v>21</v>
      </c>
      <c r="C21" s="8" t="s">
        <v>22</v>
      </c>
    </row>
  </sheetData>
  <mergeCells count="7">
    <mergeCell ref="A1:F2"/>
    <mergeCell ref="A5:F6"/>
    <mergeCell ref="C8:F8"/>
    <mergeCell ref="A11:F11"/>
    <mergeCell ref="A12:F1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1"/>
    <col collapsed="false" customWidth="true" hidden="false" outlineLevel="0" max="5" min="4" style="0" width="13"/>
    <col collapsed="false" customWidth="true" hidden="false" outlineLevel="0" max="6" min="6" style="0" width="18"/>
    <col collapsed="false" customWidth="true" hidden="false" outlineLevel="0" max="7" min="7" style="0" width="46"/>
  </cols>
  <sheetData>
    <row r="1" customFormat="false" ht="15" hidden="false" customHeight="false" outlineLevel="0" collapsed="false">
      <c r="A1" s="1" t="s">
        <v>23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0" t="s">
        <v>24</v>
      </c>
      <c r="B3" s="10"/>
      <c r="C3" s="10"/>
      <c r="D3" s="10"/>
      <c r="E3" s="10"/>
      <c r="F3" s="10"/>
      <c r="G3" s="10"/>
    </row>
    <row r="5" customFormat="false" ht="15" hidden="false" customHeight="false" outlineLevel="0" collapsed="false">
      <c r="A5" s="7" t="s">
        <v>25</v>
      </c>
      <c r="B5" s="7" t="s">
        <v>26</v>
      </c>
      <c r="C5" s="7" t="s">
        <v>27</v>
      </c>
      <c r="D5" s="7" t="s">
        <v>28</v>
      </c>
      <c r="E5" s="7" t="s">
        <v>29</v>
      </c>
      <c r="F5" s="7" t="s">
        <v>30</v>
      </c>
      <c r="G5" s="7" t="s">
        <v>31</v>
      </c>
    </row>
    <row r="6" customFormat="false" ht="35.05" hidden="false" customHeight="false" outlineLevel="0" collapsed="false">
      <c r="A6" s="11" t="s">
        <v>32</v>
      </c>
      <c r="B6" s="12" t="n">
        <v>900</v>
      </c>
      <c r="C6" s="12" t="n">
        <v>1800</v>
      </c>
      <c r="D6" s="13" t="n">
        <f aca="false">B6*Overview!$B$8</f>
        <v>55575</v>
      </c>
      <c r="E6" s="13" t="n">
        <f aca="false">C6*Overview!$B$8</f>
        <v>111150</v>
      </c>
      <c r="F6" s="14" t="s">
        <v>33</v>
      </c>
      <c r="G6" s="14" t="s">
        <v>34</v>
      </c>
    </row>
    <row r="7" customFormat="false" ht="46.25" hidden="false" customHeight="false" outlineLevel="0" collapsed="false">
      <c r="A7" s="11" t="s">
        <v>35</v>
      </c>
      <c r="B7" s="12" t="n">
        <v>2800</v>
      </c>
      <c r="C7" s="12" t="n">
        <v>7000</v>
      </c>
      <c r="D7" s="13" t="n">
        <f aca="false">B7*Overview!$B$8</f>
        <v>172900</v>
      </c>
      <c r="E7" s="13" t="n">
        <f aca="false">C7*Overview!$B$8</f>
        <v>432250</v>
      </c>
      <c r="F7" s="14" t="s">
        <v>36</v>
      </c>
      <c r="G7" s="14" t="s">
        <v>37</v>
      </c>
    </row>
    <row r="8" customFormat="false" ht="57.45" hidden="false" customHeight="false" outlineLevel="0" collapsed="false">
      <c r="A8" s="11" t="s">
        <v>38</v>
      </c>
      <c r="B8" s="12" t="n">
        <v>9000</v>
      </c>
      <c r="C8" s="12" t="n">
        <v>25000</v>
      </c>
      <c r="D8" s="13" t="n">
        <f aca="false">B8*Overview!$B$8</f>
        <v>555750</v>
      </c>
      <c r="E8" s="13" t="n">
        <f aca="false">C8*Overview!$B$8</f>
        <v>1543750</v>
      </c>
      <c r="F8" s="14" t="s">
        <v>39</v>
      </c>
      <c r="G8" s="14" t="s">
        <v>40</v>
      </c>
    </row>
    <row r="11" customFormat="false" ht="15" hidden="false" customHeight="false" outlineLevel="0" collapsed="false">
      <c r="A11" s="2" t="s">
        <v>41</v>
      </c>
    </row>
    <row r="12" customFormat="false" ht="15" hidden="false" customHeight="false" outlineLevel="0" collapsed="false">
      <c r="A12" s="7" t="s">
        <v>42</v>
      </c>
      <c r="B12" s="7" t="s">
        <v>26</v>
      </c>
      <c r="C12" s="7" t="s">
        <v>27</v>
      </c>
    </row>
    <row r="13" customFormat="false" ht="39.55" hidden="false" customHeight="false" outlineLevel="0" collapsed="false">
      <c r="A13" s="8" t="s">
        <v>43</v>
      </c>
      <c r="B13" s="15" t="n">
        <v>800</v>
      </c>
      <c r="C13" s="15" t="n">
        <v>3000</v>
      </c>
    </row>
    <row r="14" customFormat="false" ht="26.85" hidden="false" customHeight="false" outlineLevel="0" collapsed="false">
      <c r="A14" s="9" t="s">
        <v>44</v>
      </c>
      <c r="B14" s="16" t="n">
        <v>400</v>
      </c>
      <c r="C14" s="16" t="n">
        <v>1200</v>
      </c>
    </row>
    <row r="15" customFormat="false" ht="26.85" hidden="false" customHeight="false" outlineLevel="0" collapsed="false">
      <c r="A15" s="8" t="s">
        <v>45</v>
      </c>
      <c r="B15" s="15" t="n">
        <v>500</v>
      </c>
      <c r="C15" s="15" t="n">
        <v>2000</v>
      </c>
    </row>
  </sheetData>
  <mergeCells count="2">
    <mergeCell ref="A1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1"/>
    <col collapsed="false" customWidth="true" hidden="false" outlineLevel="0" max="5" min="4" style="0" width="13"/>
    <col collapsed="false" customWidth="true" hidden="false" outlineLevel="0" max="6" min="6" style="0" width="18"/>
    <col collapsed="false" customWidth="true" hidden="false" outlineLevel="0" max="7" min="7" style="0" width="46"/>
  </cols>
  <sheetData>
    <row r="1" customFormat="false" ht="15" hidden="false" customHeight="false" outlineLevel="0" collapsed="false">
      <c r="A1" s="1" t="s">
        <v>46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0" t="s">
        <v>47</v>
      </c>
      <c r="B3" s="10"/>
      <c r="C3" s="10"/>
      <c r="D3" s="10"/>
      <c r="E3" s="10"/>
      <c r="F3" s="10"/>
      <c r="G3" s="10"/>
    </row>
    <row r="5" customFormat="false" ht="15" hidden="false" customHeight="false" outlineLevel="0" collapsed="false">
      <c r="A5" s="7" t="s">
        <v>25</v>
      </c>
      <c r="B5" s="7" t="s">
        <v>26</v>
      </c>
      <c r="C5" s="7" t="s">
        <v>27</v>
      </c>
      <c r="D5" s="7" t="s">
        <v>28</v>
      </c>
      <c r="E5" s="7" t="s">
        <v>29</v>
      </c>
      <c r="F5" s="7" t="s">
        <v>30</v>
      </c>
      <c r="G5" s="7" t="s">
        <v>31</v>
      </c>
    </row>
    <row r="6" customFormat="false" ht="35.05" hidden="false" customHeight="false" outlineLevel="0" collapsed="false">
      <c r="A6" s="11" t="s">
        <v>48</v>
      </c>
      <c r="B6" s="12" t="n">
        <v>1200</v>
      </c>
      <c r="C6" s="12" t="n">
        <v>2800</v>
      </c>
      <c r="D6" s="13" t="n">
        <f aca="false">B6*Overview!$B$8</f>
        <v>74100</v>
      </c>
      <c r="E6" s="13" t="n">
        <f aca="false">C6*Overview!$B$8</f>
        <v>172900</v>
      </c>
      <c r="F6" s="14" t="s">
        <v>49</v>
      </c>
      <c r="G6" s="14" t="s">
        <v>50</v>
      </c>
    </row>
    <row r="7" customFormat="false" ht="46.25" hidden="false" customHeight="false" outlineLevel="0" collapsed="false">
      <c r="A7" s="11" t="s">
        <v>35</v>
      </c>
      <c r="B7" s="12" t="n">
        <v>3800</v>
      </c>
      <c r="C7" s="12" t="n">
        <v>9000</v>
      </c>
      <c r="D7" s="13" t="n">
        <f aca="false">B7*Overview!$B$8</f>
        <v>234650</v>
      </c>
      <c r="E7" s="13" t="n">
        <f aca="false">C7*Overview!$B$8</f>
        <v>555750</v>
      </c>
      <c r="F7" s="14" t="s">
        <v>51</v>
      </c>
      <c r="G7" s="14" t="s">
        <v>52</v>
      </c>
    </row>
    <row r="8" customFormat="false" ht="57.45" hidden="false" customHeight="false" outlineLevel="0" collapsed="false">
      <c r="A8" s="11" t="s">
        <v>53</v>
      </c>
      <c r="B8" s="12" t="n">
        <v>11000</v>
      </c>
      <c r="C8" s="12" t="n">
        <v>28000</v>
      </c>
      <c r="D8" s="13" t="n">
        <f aca="false">B8*Overview!$B$8</f>
        <v>679250</v>
      </c>
      <c r="E8" s="13" t="n">
        <f aca="false">C8*Overview!$B$8</f>
        <v>1729000</v>
      </c>
      <c r="F8" s="14" t="s">
        <v>54</v>
      </c>
      <c r="G8" s="14" t="s">
        <v>55</v>
      </c>
    </row>
  </sheetData>
  <mergeCells count="2">
    <mergeCell ref="A1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1"/>
    <col collapsed="false" customWidth="true" hidden="false" outlineLevel="0" max="5" min="4" style="0" width="13"/>
    <col collapsed="false" customWidth="true" hidden="false" outlineLevel="0" max="6" min="6" style="0" width="18"/>
    <col collapsed="false" customWidth="true" hidden="false" outlineLevel="0" max="7" min="7" style="0" width="46"/>
  </cols>
  <sheetData>
    <row r="1" customFormat="false" ht="15" hidden="false" customHeight="false" outlineLevel="0" collapsed="false">
      <c r="A1" s="1" t="s">
        <v>56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0" t="s">
        <v>57</v>
      </c>
      <c r="B3" s="10"/>
      <c r="C3" s="10"/>
      <c r="D3" s="10"/>
      <c r="E3" s="10"/>
      <c r="F3" s="10"/>
      <c r="G3" s="10"/>
    </row>
    <row r="5" customFormat="false" ht="15" hidden="false" customHeight="false" outlineLevel="0" collapsed="false">
      <c r="A5" s="7" t="s">
        <v>25</v>
      </c>
      <c r="B5" s="7" t="s">
        <v>26</v>
      </c>
      <c r="C5" s="7" t="s">
        <v>27</v>
      </c>
      <c r="D5" s="7" t="s">
        <v>28</v>
      </c>
      <c r="E5" s="7" t="s">
        <v>29</v>
      </c>
      <c r="F5" s="7" t="s">
        <v>30</v>
      </c>
      <c r="G5" s="7" t="s">
        <v>31</v>
      </c>
    </row>
    <row r="6" customFormat="false" ht="35.05" hidden="false" customHeight="false" outlineLevel="0" collapsed="false">
      <c r="A6" s="11" t="s">
        <v>58</v>
      </c>
      <c r="B6" s="12" t="n">
        <v>6000</v>
      </c>
      <c r="C6" s="12" t="n">
        <v>15000</v>
      </c>
      <c r="D6" s="13" t="n">
        <f aca="false">B6*Overview!$B$8</f>
        <v>370500</v>
      </c>
      <c r="E6" s="13" t="n">
        <f aca="false">C6*Overview!$B$8</f>
        <v>926250</v>
      </c>
      <c r="F6" s="14" t="s">
        <v>59</v>
      </c>
      <c r="G6" s="14" t="s">
        <v>60</v>
      </c>
    </row>
    <row r="7" customFormat="false" ht="46.25" hidden="false" customHeight="false" outlineLevel="0" collapsed="false">
      <c r="A7" s="11" t="s">
        <v>61</v>
      </c>
      <c r="B7" s="12" t="n">
        <v>16000</v>
      </c>
      <c r="C7" s="12" t="n">
        <v>40000</v>
      </c>
      <c r="D7" s="13" t="n">
        <f aca="false">B7*Overview!$B$8</f>
        <v>988000</v>
      </c>
      <c r="E7" s="13" t="n">
        <f aca="false">C7*Overview!$B$8</f>
        <v>2470000</v>
      </c>
      <c r="F7" s="14" t="s">
        <v>62</v>
      </c>
      <c r="G7" s="14" t="s">
        <v>63</v>
      </c>
    </row>
    <row r="8" customFormat="false" ht="35.05" hidden="false" customHeight="false" outlineLevel="0" collapsed="false">
      <c r="A8" s="11" t="s">
        <v>64</v>
      </c>
      <c r="B8" s="12" t="n">
        <v>40000</v>
      </c>
      <c r="C8" s="12" t="n">
        <v>90000</v>
      </c>
      <c r="D8" s="13" t="n">
        <f aca="false">B8*Overview!$B$8</f>
        <v>2470000</v>
      </c>
      <c r="E8" s="13" t="n">
        <f aca="false">C8*Overview!$B$8</f>
        <v>5557500</v>
      </c>
      <c r="F8" s="14" t="s">
        <v>65</v>
      </c>
      <c r="G8" s="14" t="s">
        <v>66</v>
      </c>
    </row>
  </sheetData>
  <mergeCells count="2">
    <mergeCell ref="A1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17" t="s">
        <v>67</v>
      </c>
      <c r="B1" s="17"/>
      <c r="C1" s="17"/>
      <c r="D1" s="17"/>
      <c r="E1" s="17"/>
      <c r="F1" s="17"/>
    </row>
    <row r="2" customFormat="false" ht="15" hidden="false" customHeight="false" outlineLevel="0" collapsed="false">
      <c r="A2" s="17"/>
      <c r="B2" s="17"/>
      <c r="C2" s="17"/>
      <c r="D2" s="17"/>
      <c r="E2" s="17"/>
      <c r="F2" s="17"/>
    </row>
    <row r="3" customFormat="false" ht="15" hidden="false" customHeight="false" outlineLevel="0" collapsed="false">
      <c r="A3" s="10" t="s">
        <v>68</v>
      </c>
      <c r="B3" s="10"/>
      <c r="C3" s="10"/>
      <c r="D3" s="10"/>
      <c r="E3" s="10"/>
      <c r="F3" s="10"/>
    </row>
    <row r="5" customFormat="false" ht="15" hidden="false" customHeight="false" outlineLevel="0" collapsed="false">
      <c r="A5" s="7" t="s">
        <v>69</v>
      </c>
      <c r="B5" s="7" t="s">
        <v>70</v>
      </c>
      <c r="C5" s="7" t="s">
        <v>71</v>
      </c>
      <c r="D5" s="7" t="s">
        <v>72</v>
      </c>
      <c r="E5" s="7" t="s">
        <v>73</v>
      </c>
    </row>
    <row r="6" customFormat="false" ht="23.85" hidden="false" customHeight="false" outlineLevel="0" collapsed="false">
      <c r="A6" s="11" t="s">
        <v>74</v>
      </c>
      <c r="B6" s="12" t="n">
        <v>150</v>
      </c>
      <c r="C6" s="13" t="n">
        <f aca="false">B6*Overview!$B$8</f>
        <v>9262.5</v>
      </c>
      <c r="D6" s="14" t="s">
        <v>75</v>
      </c>
      <c r="E6" s="14" t="s">
        <v>76</v>
      </c>
    </row>
    <row r="7" customFormat="false" ht="23.85" hidden="false" customHeight="false" outlineLevel="0" collapsed="false">
      <c r="A7" s="11" t="s">
        <v>77</v>
      </c>
      <c r="B7" s="18" t="n">
        <v>350</v>
      </c>
      <c r="C7" s="19" t="n">
        <f aca="false">B7*Overview!$B$8</f>
        <v>21612.5</v>
      </c>
      <c r="D7" s="20" t="s">
        <v>78</v>
      </c>
      <c r="E7" s="20" t="s">
        <v>79</v>
      </c>
    </row>
    <row r="8" customFormat="false" ht="35.05" hidden="false" customHeight="false" outlineLevel="0" collapsed="false">
      <c r="A8" s="11" t="s">
        <v>80</v>
      </c>
      <c r="B8" s="12" t="n">
        <v>600</v>
      </c>
      <c r="C8" s="13" t="n">
        <f aca="false">B8*Overview!$B$8</f>
        <v>37050</v>
      </c>
      <c r="D8" s="14" t="s">
        <v>81</v>
      </c>
      <c r="E8" s="14" t="s">
        <v>82</v>
      </c>
    </row>
    <row r="10" customFormat="false" ht="15" hidden="false" customHeight="false" outlineLevel="0" collapsed="false">
      <c r="A10" s="2" t="s">
        <v>83</v>
      </c>
    </row>
    <row r="11" customFormat="false" ht="15" hidden="false" customHeight="false" outlineLevel="0" collapsed="false">
      <c r="A11" s="7" t="s">
        <v>42</v>
      </c>
      <c r="B11" s="7" t="s">
        <v>26</v>
      </c>
      <c r="C11" s="7" t="s">
        <v>27</v>
      </c>
      <c r="D11" s="7" t="s">
        <v>84</v>
      </c>
    </row>
    <row r="12" customFormat="false" ht="46.25" hidden="false" customHeight="false" outlineLevel="0" collapsed="false">
      <c r="A12" s="14" t="s">
        <v>85</v>
      </c>
      <c r="B12" s="21" t="n">
        <v>400</v>
      </c>
      <c r="C12" s="21" t="n">
        <v>2500</v>
      </c>
      <c r="D12" s="14" t="s">
        <v>86</v>
      </c>
    </row>
    <row r="13" customFormat="false" ht="23.85" hidden="false" customHeight="false" outlineLevel="0" collapsed="false">
      <c r="A13" s="20" t="s">
        <v>87</v>
      </c>
      <c r="B13" s="22" t="n">
        <v>300</v>
      </c>
      <c r="C13" s="22" t="n">
        <v>800</v>
      </c>
      <c r="D13" s="20" t="s">
        <v>88</v>
      </c>
    </row>
    <row r="14" customFormat="false" ht="23.85" hidden="false" customHeight="false" outlineLevel="0" collapsed="false">
      <c r="A14" s="14" t="s">
        <v>89</v>
      </c>
      <c r="B14" s="21" t="n">
        <v>300</v>
      </c>
      <c r="C14" s="21" t="n">
        <v>1500</v>
      </c>
      <c r="D14" s="14" t="s">
        <v>90</v>
      </c>
    </row>
    <row r="15" customFormat="false" ht="23.85" hidden="false" customHeight="false" outlineLevel="0" collapsed="false">
      <c r="A15" s="20" t="s">
        <v>91</v>
      </c>
      <c r="B15" s="20" t="s">
        <v>92</v>
      </c>
      <c r="C15" s="20" t="s">
        <v>93</v>
      </c>
      <c r="D15" s="20" t="s">
        <v>94</v>
      </c>
    </row>
  </sheetData>
  <mergeCells count="2">
    <mergeCell ref="A1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17" t="s">
        <v>95</v>
      </c>
      <c r="B1" s="17"/>
      <c r="C1" s="17"/>
      <c r="D1" s="17"/>
    </row>
    <row r="2" customFormat="false" ht="15" hidden="false" customHeight="false" outlineLevel="0" collapsed="false">
      <c r="A2" s="17"/>
      <c r="B2" s="17"/>
      <c r="C2" s="17"/>
      <c r="D2" s="17"/>
    </row>
    <row r="4" customFormat="false" ht="15" hidden="false" customHeight="false" outlineLevel="0" collapsed="false">
      <c r="A4" s="7" t="s">
        <v>96</v>
      </c>
      <c r="B4" s="7" t="s">
        <v>97</v>
      </c>
      <c r="C4" s="7" t="s">
        <v>98</v>
      </c>
      <c r="D4" s="7" t="s">
        <v>84</v>
      </c>
    </row>
    <row r="5" customFormat="false" ht="26.85" hidden="false" customHeight="false" outlineLevel="0" collapsed="false">
      <c r="A5" s="23" t="s">
        <v>99</v>
      </c>
      <c r="B5" s="23" t="s">
        <v>100</v>
      </c>
      <c r="C5" s="23" t="s">
        <v>101</v>
      </c>
      <c r="D5" s="23" t="s">
        <v>102</v>
      </c>
    </row>
    <row r="6" customFormat="false" ht="26.85" hidden="false" customHeight="false" outlineLevel="0" collapsed="false">
      <c r="A6" s="24" t="s">
        <v>103</v>
      </c>
      <c r="B6" s="24" t="s">
        <v>104</v>
      </c>
      <c r="C6" s="24" t="s">
        <v>105</v>
      </c>
      <c r="D6" s="24" t="s">
        <v>106</v>
      </c>
    </row>
    <row r="7" customFormat="false" ht="26.85" hidden="false" customHeight="false" outlineLevel="0" collapsed="false">
      <c r="A7" s="23" t="s">
        <v>107</v>
      </c>
      <c r="B7" s="23" t="s">
        <v>108</v>
      </c>
      <c r="C7" s="23" t="s">
        <v>105</v>
      </c>
      <c r="D7" s="23" t="s">
        <v>109</v>
      </c>
    </row>
    <row r="8" customFormat="false" ht="26.85" hidden="false" customHeight="false" outlineLevel="0" collapsed="false">
      <c r="A8" s="24" t="s">
        <v>110</v>
      </c>
      <c r="B8" s="24" t="s">
        <v>111</v>
      </c>
      <c r="C8" s="24" t="s">
        <v>112</v>
      </c>
      <c r="D8" s="24" t="s">
        <v>113</v>
      </c>
    </row>
    <row r="9" customFormat="false" ht="26.85" hidden="false" customHeight="false" outlineLevel="0" collapsed="false">
      <c r="A9" s="23" t="s">
        <v>114</v>
      </c>
      <c r="B9" s="23" t="s">
        <v>115</v>
      </c>
      <c r="C9" s="23" t="s">
        <v>112</v>
      </c>
      <c r="D9" s="23" t="s">
        <v>116</v>
      </c>
    </row>
    <row r="10" customFormat="false" ht="26.85" hidden="false" customHeight="false" outlineLevel="0" collapsed="false">
      <c r="A10" s="24" t="s">
        <v>117</v>
      </c>
      <c r="B10" s="24" t="s">
        <v>118</v>
      </c>
      <c r="C10" s="24" t="s">
        <v>119</v>
      </c>
      <c r="D10" s="24" t="s">
        <v>120</v>
      </c>
    </row>
    <row r="11" customFormat="false" ht="26.85" hidden="false" customHeight="false" outlineLevel="0" collapsed="false">
      <c r="A11" s="23" t="s">
        <v>121</v>
      </c>
      <c r="B11" s="23" t="s">
        <v>122</v>
      </c>
      <c r="C11" s="23" t="s">
        <v>123</v>
      </c>
      <c r="D11" s="23" t="s">
        <v>124</v>
      </c>
    </row>
    <row r="12" customFormat="false" ht="26.85" hidden="false" customHeight="false" outlineLevel="0" collapsed="false">
      <c r="A12" s="24" t="s">
        <v>125</v>
      </c>
      <c r="B12" s="24" t="s">
        <v>126</v>
      </c>
      <c r="C12" s="24" t="s">
        <v>127</v>
      </c>
      <c r="D12" s="24" t="s">
        <v>128</v>
      </c>
    </row>
    <row r="13" customFormat="false" ht="26.85" hidden="false" customHeight="false" outlineLevel="0" collapsed="false">
      <c r="A13" s="23" t="s">
        <v>129</v>
      </c>
      <c r="B13" s="23" t="s">
        <v>130</v>
      </c>
      <c r="C13" s="23" t="s">
        <v>131</v>
      </c>
      <c r="D13" s="23" t="s">
        <v>132</v>
      </c>
    </row>
    <row r="14" customFormat="false" ht="39.55" hidden="false" customHeight="false" outlineLevel="0" collapsed="false">
      <c r="A14" s="24" t="s">
        <v>133</v>
      </c>
      <c r="B14" s="24" t="s">
        <v>134</v>
      </c>
      <c r="C14" s="24" t="s">
        <v>135</v>
      </c>
      <c r="D14" s="24" t="s">
        <v>136</v>
      </c>
    </row>
    <row r="16" customFormat="false" ht="15" hidden="false" customHeight="false" outlineLevel="0" collapsed="false">
      <c r="A16" s="5" t="s">
        <v>137</v>
      </c>
      <c r="B16" s="5"/>
      <c r="C16" s="5"/>
      <c r="D16" s="5"/>
    </row>
  </sheetData>
  <mergeCells count="2">
    <mergeCell ref="A1:D2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2026-07-22T08:50:50Z</dcterms:created>
  <dc:creator>openpyxl</dc:creator>
  <dc:description/>
  <dc:language>en-US</dc:language>
  <cp:lastModifiedBy/>
  <dcterms:modified xsi:type="dcterms:W3CDTF">2026-07-22T08:50:50Z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