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al Estate Websites" sheetId="2" state="visible" r:id="rId4"/>
    <sheet name="Digital Commerce" sheetId="3" state="visible" r:id="rId5"/>
    <sheet name="Web &amp; Mobile Apps" sheetId="4" state="visible" r:id="rId6"/>
    <sheet name="Supporting Servi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<sst xmlns="http://schemas.openxmlformats.org/spreadsheetml/2006/main" count="117" uniqueCount="91">
  <si>
    <t xml:space="preserve">FSK Codehouse Corp. — Dual-Band Pricing (PH market + Global USD)</t>
  </si>
  <si>
    <t xml:space="preserve">Built 24 Jul 2026 from competitor research in FSK_PH_Competitor_Research.xlsx. Blue = editable inputs (yellow-filled cells are yours to change).</t>
  </si>
  <si>
    <t xml:space="preserve">FX assumption: PHP per 1 USD</t>
  </si>
  <si>
    <t xml:space="preserve">Input cell — update to the current rate. All "Global band in PHP" columns recalculate from this.</t>
  </si>
  <si>
    <t xml:space="preserve">How the two bands are set</t>
  </si>
  <si>
    <t xml:space="preserve">• PH band: positioned in the "genuine custom" gap — above template shops (NetizenWorks ₱14k–59k), at/below agency band (Qadra ₱190k–300k business sites), aligned to the ₱75k–150k custom-work sweet spot identified in market guides.</t>
  </si>
  <si>
    <t xml:space="preserve">• Global band (USD): 40–70% below verified US/UK agency rates (basic site $5k–15k, ecommerce $15k–50k, apps $25k–100k+) but at/above the premium-PH bar set by Dixie Raiz Pacheco ($2.5k/$5k/$8k) — high enough to signal quality, low enough that the PH cost advantage is the buyer's obvious win.</t>
  </si>
  <si>
    <t xml:space="preserve">• Global band ≈ 2.5–4x the PH band at current FX. That multiple matches what verified competitors already achieve (e.g., premium PH providers billing foreign clients $2.5k–8k for work that mid-tier PH providers sell locally at ₱40k–150k).</t>
  </si>
  <si>
    <t xml:space="preserve">• Rush delivery: +25% (2 weeks saved) to +50% (half the timeline) on either band. Never discount the global band below the PH band in USD terms.</t>
  </si>
  <si>
    <t xml:space="preserve">• All figures are launch prices for FSK's first 90 days; revisit after 5 paid projects per line.</t>
  </si>
  <si>
    <t xml:space="preserve">Real Estate Websites</t>
  </si>
  <si>
    <t xml:space="preserve">Agent sites, brokerage sites, and custom listing platforms. PH band competes with iBuild.PH/Redkite (both quote-only); global band undercuts US custom real-estate builds while beating IDX SaaS on ownership.</t>
  </si>
  <si>
    <t xml:space="preserve">Tier</t>
  </si>
  <si>
    <t xml:space="preserve">PH band low (₱)</t>
  </si>
  <si>
    <t xml:space="preserve">PH band high (₱)</t>
  </si>
  <si>
    <t xml:space="preserve">Global low ($)</t>
  </si>
  <si>
    <t xml:space="preserve">Global high ($)</t>
  </si>
  <si>
    <t xml:space="preserve">Global low (₱ eq.)</t>
  </si>
  <si>
    <t xml:space="preserve">Global high (₱ eq.)</t>
  </si>
  <si>
    <t xml:space="preserve">Timeline</t>
  </si>
  <si>
    <t xml:space="preserve">What's included / best for</t>
  </si>
  <si>
    <t xml:space="preserve">Pricing reasoning (vs research)</t>
  </si>
  <si>
    <t xml:space="preserve">Agent Starter</t>
  </si>
  <si>
    <t xml:space="preserve">2–3 weeks</t>
  </si>
  <si>
    <t xml:space="preserve">Personal brand site for one agent: 5–8 pages, featured listings (manually managed), lead/inquiry forms, mobile-first, basic on-page SEO, Google Business setup. Next.js build — no template lock-in.</t>
  </si>
  <si>
    <t xml:space="preserve">PH: above NetizenWorks template tier (₱14k–32k) because this is custom code; inside the ₱30k–75k small-business band buyers already accept. Global: US agents pay $60–299/mo forever for IDX SaaS or $2k–8k for custom; $1.5k–3k owned-asset pricing is an easy story.</t>
  </si>
  <si>
    <t xml:space="preserve">Brokerage Growth</t>
  </si>
  <si>
    <t xml:space="preserve">4–7 weeks</t>
  </si>
  <si>
    <t xml:space="preserve">Multi-agent brokerage site: searchable listings with filters, agent profile pages, listing CMS (staff can add/edit), lead routing to agents, map view, SEO architecture, analytics.</t>
  </si>
  <si>
    <t xml:space="preserve">PH: sits in the underserved ₱75k–150k+ "genuine custom" gap; below Qadra business band (₱190k–300k) with more functionality. Global: US team/brokerage sites run $12k–30k (Luxury Presence benchmark); $4k–8k is credible-premium PH pricing, above Dixie Starter ($2.5k), near his Pro ($5k).</t>
  </si>
  <si>
    <t xml:space="preserve">Listing Platform</t>
  </si>
  <si>
    <t xml:space="preserve">10–16 weeks</t>
  </si>
  <si>
    <t xml:space="preserve">Custom property platform: full listing database, advanced search, saved/compare tools, buyer portals, agent dashboards, inquiry CRM, feed/IDX integration where available, optional companion mobile app scoped separately.</t>
  </si>
  <si>
    <t xml:space="preserve">PH: developer/portal builds locally quoted ₱300k+ (BGC case study) up to Qadra "marketplace" band (₱200k–30M) — FSK anchors the accessible end. Global: equivalent US custom web application $25k–100k+; $12k–25k is half the US floor yet 3–5x FSK's PH band, consistent with market multiples.</t>
  </si>
  <si>
    <t xml:space="preserve">Digital Commerce</t>
  </si>
  <si>
    <t xml:space="preserve">Storefronts for physical &amp; digital products. PH band includes local rails (GCash/Maya via PayMongo); global band benchmarked vs US ecommerce builds ($15k–50k).</t>
  </si>
  <si>
    <t xml:space="preserve">Starter Storefront</t>
  </si>
  <si>
    <t xml:space="preserve">3–4 weeks</t>
  </si>
  <si>
    <t xml:space="preserve">Shopify or WooCommerce store: theme customization, up to ~50 products loaded, payments (incl. GCash/Maya via PayMongo for PH; Stripe/PayPal for global), shipping &amp; tax config, order emails, analytics, launch checklist.</t>
  </si>
  <si>
    <t xml:space="preserve">PH: market basic-store band is ₱50k–100k — FSK prices at its top because local payment rails and custom theme work are included, not add-ons. Global: PH Shopify projects bill $1.5k–5k for small scope; US equivalents start ~$5k–15k. $2.5k–5k undercuts US freelancers while staying premium-PH.</t>
  </si>
  <si>
    <t xml:space="preserve">Growth Store</t>
  </si>
  <si>
    <t xml:space="preserve">5–8 weeks</t>
  </si>
  <si>
    <t xml:space="preserve">Custom storefront: bespoke design, up to ~200 products, subscriptions or digital delivery, inventory/ERP or marketplace integrations, conversion tracking, speed optimization, structured data SEO.</t>
  </si>
  <si>
    <t xml:space="preserve">PH: professional-store market band ₱100k–250k; FSK's ₱150k–280k reflects custom design + integrations (WooCommerce dev builds verified at ₱50k–200k for less scope). Global: mid Shopify projects $3k–8k, US agency stores $15k+; $6k–12k positions above body-shop work, below US retainer agencies.</t>
  </si>
  <si>
    <t xml:space="preserve">Custom Commerce Platform</t>
  </si>
  <si>
    <t xml:space="preserve">Headless/custom commerce: custom checkout flows, multi-currency, digital product licensing, customer accounts, admin dashboards, API integrations — for brands that have outgrown platform templates.</t>
  </si>
  <si>
    <t xml:space="preserve">PH: enterprise-store band ₱200k–500k+; custom PH commerce verified at ₱280k–448k ($5k–8k, Dixie) — FSK's team scope justifies the top of that band. Global: US custom ecommerce $15k–50k; entering at the US floor with PH economics is the whole pitch.</t>
  </si>
  <si>
    <t xml:space="preserve">Web &amp; Mobile Apps</t>
  </si>
  <si>
    <t xml:space="preserve">Client apps, partnerships, and FSK products (Lenso is the flagship case study). Fixed-price MVPs are the wedge — almost no PH competitor publishes app pricing.</t>
  </si>
  <si>
    <t xml:space="preserve">Discovery Sprint</t>
  </si>
  <si>
    <t xml:space="preserve">1–2 weeks</t>
  </si>
  <si>
    <t xml:space="preserve">Paid scoping: requirements workshop, user flows, clickable prototype, technical architecture, delivery plan with fixed quote for the build. Fee credited against the build if FSK is hired.</t>
  </si>
  <si>
    <t xml:space="preserve">PH/global: fixed discovery packages verified in-market at $1,500–4,950. A paid sprint filters serious buyers and de-risks fixed-price builds — standard practice among credible studios.</t>
  </si>
  <si>
    <t xml:space="preserve">MVP Build</t>
  </si>
  <si>
    <t xml:space="preserve">8–12 weeks</t>
  </si>
  <si>
    <t xml:space="preserve">Single-platform product (web app or one mobile OS): core feature set, auth, database, admin basics, deployment, app-store submission if mobile. Ships to real users fast.</t>
  </si>
  <si>
    <t xml:space="preserve">PH: local agencies quote simple apps at ₱800k–2M — FSK's ₱450k–900k undercuts visibly while staying far above freelancer risk. Global: US custom apps start $25k–100k; premium-PH full-stack verified at $8k–15k. $10k–25k lands mid-way: credible, profitable at PH delivery cost.</t>
  </si>
  <si>
    <t xml:space="preserve">Full Product</t>
  </si>
  <si>
    <t xml:space="preserve">4–8 months</t>
  </si>
  <si>
    <t xml:space="preserve">Multi-platform (web + iOS + Android), integrations, payments, notifications, analytics, hardened security, scalable infra, post-launch support period.</t>
  </si>
  <si>
    <t xml:space="preserve">PH: complex local builds ₱5.5M+ per industry guides — FSK's band is aggressive but honest for a lean senior team. Global: below the $95k–260k+ complex-app benchmark; $30k–65k is where US startups take offshore seriously without suspecting corner-cutting.</t>
  </si>
  <si>
    <t xml:space="preserve">Team Extension (per dev/mo)</t>
  </si>
  <si>
    <t xml:space="preserve">monthly</t>
  </si>
  <si>
    <t xml:space="preserve">Dedicated FSK engineer embedded in the client's team: full-time, client's tools and standups, weekly reporting. Min. 3-month term.</t>
  </si>
  <si>
    <t xml:space="preserve">PH: senior salaries ₱120k–180k/mo verified — price covers salary + margin. Global: at $20–40/hr PH market rate a full-time month is $3.2k–6.4k; $3k–5.5k/dev/mo is inside the verified band and ~1/3 of US contractor cost.</t>
  </si>
  <si>
    <t xml:space="preserve">Supporting Services</t>
  </si>
  <si>
    <t xml:space="preserve">Retainers monthly; others as marked. Same dual-band logic.</t>
  </si>
  <si>
    <t xml:space="preserve">Service</t>
  </si>
  <si>
    <t xml:space="preserve">PH low (₱)</t>
  </si>
  <si>
    <t xml:space="preserve">PH high (₱)</t>
  </si>
  <si>
    <t xml:space="preserve">What's included</t>
  </si>
  <si>
    <t xml:space="preserve">Reasoning</t>
  </si>
  <si>
    <t xml:space="preserve">Care Basic (monthly)</t>
  </si>
  <si>
    <t xml:space="preserve">Hosting management, uptime &amp; security monitoring, backups, patches, bug fixes, monthly report.</t>
  </si>
  <si>
    <t xml:space="preserve">PH: verified maintenance floor ₱1.5k–8k/mo. Global: fills the gap under agency-grade retainers; US equivalents rarely under $100–300/mo.</t>
  </si>
  <si>
    <t xml:space="preserve">Care Plus (monthly)</t>
  </si>
  <si>
    <t xml:space="preserve">Basic + content updates (up to 4 hrs), on-page SEO upkeep, performance tuning, priority 1-business-day response.</t>
  </si>
  <si>
    <t xml:space="preserve">PH: between the budget floor and Qadra's ₱20k–70k band. Global: matches value of low-end US retainers ($500–1,500) at a visible discount.</t>
  </si>
  <si>
    <t xml:space="preserve">Care Pro (monthly)</t>
  </si>
  <si>
    <t xml:space="preserve">Plus dedicated monthly dev hours (10–15), small feature work, A/B tests, quarterly roadmap call, same-day response. Ecommerce/app clients.</t>
  </si>
  <si>
    <t xml:space="preserve">PH: aligns with verified ₱20k–70k agency band and ₱10k–50k ecommerce maintenance range. Global: undercuts US productized retainers ($2k+) with more engineering hours.</t>
  </si>
  <si>
    <t xml:space="preserve">SEO retainer (monthly)</t>
  </si>
  <si>
    <t xml:space="preserve">Technical SEO, content plan + 2–4 optimized pieces, local SEO/GBP, structured data, monthly reporting.</t>
  </si>
  <si>
    <t xml:space="preserve">PH: verified SEO bands ₱20k–70k basic / ₱70k–150k advanced (project) and OOm/Truelogic retainer norms — FSK enters below Manila agency retainers. Global: US SEO retainers commonly $1k–5k/mo.</t>
  </si>
  <si>
    <t xml:space="preserve">App store publishing (one-time)</t>
  </si>
  <si>
    <t xml:space="preserve">Apple + Google developer account setup, store listings, screenshots, review-compliance fixes, submission &amp; release management.</t>
  </si>
  <si>
    <t xml:space="preserve">Priced as productized service; no PH-published benchmark found (flagged as unverified market — priced from effort: 2–4 senior days).</t>
  </si>
  <si>
    <t xml:space="preserve">Rush delivery (surcharge)</t>
  </si>
  <si>
    <t xml:space="preserve">—</t>
  </si>
  <si>
    <t xml:space="preserve">+25% of project price to compress timeline ~25–30%; +50% to halve it (team permitting). Applies to either band.</t>
  </si>
  <si>
    <t xml:space="preserve">Qadra markets "30 days or less" rapid builds unpriced; a published surcharge converts urgency into revenue instead of scope-cutting.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</si>
</sst>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₱#,##0"/>
    <numFmt numFmtId="167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D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F1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2.35" hidden="false" customHeight="false" outlineLevel="0" collapsed="false">
      <c r="A4" s="3" t="s">
        <v>2</v>
      </c>
      <c r="B4" s="4" t="n">
        <v>58</v>
      </c>
      <c r="C4" s="5" t="s">
        <v>3</v>
      </c>
    </row>
    <row r="6" customFormat="false" ht="15" hidden="false" customHeight="false" outlineLevel="0" collapsed="false">
      <c r="A6" s="6" t="s">
        <v>4</v>
      </c>
    </row>
    <row r="7" customFormat="false" ht="42" hidden="false" customHeight="true" outlineLevel="0" collapsed="false">
      <c r="A7" s="7" t="s">
        <v>5</v>
      </c>
      <c r="B7" s="7"/>
      <c r="C7" s="7"/>
    </row>
    <row r="8" customFormat="false" ht="42" hidden="false" customHeight="true" outlineLevel="0" collapsed="false">
      <c r="A8" s="7" t="s">
        <v>6</v>
      </c>
      <c r="B8" s="7"/>
      <c r="C8" s="7"/>
    </row>
    <row r="9" customFormat="false" ht="42" hidden="false" customHeight="true" outlineLevel="0" collapsed="false">
      <c r="A9" s="7" t="s">
        <v>7</v>
      </c>
      <c r="B9" s="7"/>
      <c r="C9" s="7"/>
    </row>
    <row r="10" customFormat="false" ht="42" hidden="false" customHeight="true" outlineLevel="0" collapsed="false">
      <c r="A10" s="7" t="s">
        <v>8</v>
      </c>
      <c r="B10" s="7"/>
      <c r="C10" s="7"/>
    </row>
    <row r="11" customFormat="false" ht="42" hidden="false" customHeight="true" outlineLevel="0" collapsed="false">
      <c r="A11" s="7" t="s">
        <v>9</v>
      </c>
      <c r="B11" s="7"/>
      <c r="C11" s="7"/>
    </row>
  </sheetData>
  <mergeCells count="5">
    <mergeCell ref="A7:C7"/>
    <mergeCell ref="A8:C8"/>
    <mergeCell ref="A9:C9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5" min="4" style="0" width="11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52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23.85" hidden="false" customHeight="false" outlineLevel="0" collapsed="false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</row>
    <row r="5" customFormat="false" ht="87.75" hidden="false" customHeight="true" outlineLevel="0" collapsed="false">
      <c r="A5" s="9" t="s">
        <v>22</v>
      </c>
      <c r="B5" s="10" t="n">
        <v>45000</v>
      </c>
      <c r="C5" s="10" t="n">
        <v>75000</v>
      </c>
      <c r="D5" s="11" t="n">
        <v>1500</v>
      </c>
      <c r="E5" s="11" t="n">
        <v>3000</v>
      </c>
      <c r="F5" s="12" t="n">
        <f aca="false">D5*Assumptions!$B$4</f>
        <v>87000</v>
      </c>
      <c r="G5" s="12" t="n">
        <f aca="false">E5*Assumptions!$B$4</f>
        <v>174000</v>
      </c>
      <c r="H5" s="13" t="s">
        <v>23</v>
      </c>
      <c r="I5" s="13" t="s">
        <v>24</v>
      </c>
      <c r="J5" s="13" t="s">
        <v>25</v>
      </c>
    </row>
    <row r="6" customFormat="false" ht="87.75" hidden="false" customHeight="true" outlineLevel="0" collapsed="false">
      <c r="A6" s="14" t="s">
        <v>26</v>
      </c>
      <c r="B6" s="15" t="n">
        <v>120000</v>
      </c>
      <c r="C6" s="15" t="n">
        <v>220000</v>
      </c>
      <c r="D6" s="16" t="n">
        <v>4000</v>
      </c>
      <c r="E6" s="16" t="n">
        <v>8000</v>
      </c>
      <c r="F6" s="17" t="n">
        <f aca="false">D6*Assumptions!$B$4</f>
        <v>232000</v>
      </c>
      <c r="G6" s="17" t="n">
        <f aca="false">E6*Assumptions!$B$4</f>
        <v>464000</v>
      </c>
      <c r="H6" s="18" t="s">
        <v>27</v>
      </c>
      <c r="I6" s="18" t="s">
        <v>28</v>
      </c>
      <c r="J6" s="18" t="s">
        <v>29</v>
      </c>
    </row>
    <row r="7" customFormat="false" ht="87.75" hidden="false" customHeight="true" outlineLevel="0" collapsed="false">
      <c r="A7" s="9" t="s">
        <v>30</v>
      </c>
      <c r="B7" s="10" t="n">
        <v>300000</v>
      </c>
      <c r="C7" s="10" t="n">
        <v>650000</v>
      </c>
      <c r="D7" s="11" t="n">
        <v>12000</v>
      </c>
      <c r="E7" s="11" t="n">
        <v>25000</v>
      </c>
      <c r="F7" s="12" t="n">
        <f aca="false">D7*Assumptions!$B$4</f>
        <v>696000</v>
      </c>
      <c r="G7" s="12" t="n">
        <f aca="false">E7*Assumptions!$B$4</f>
        <v>1450000</v>
      </c>
      <c r="H7" s="13" t="s">
        <v>31</v>
      </c>
      <c r="I7" s="13" t="s">
        <v>32</v>
      </c>
      <c r="J7" s="1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5" min="4" style="0" width="11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5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23.85" hidden="false" customHeight="false" outlineLevel="0" collapsed="false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</row>
    <row r="5" customFormat="false" ht="87.75" hidden="false" customHeight="true" outlineLevel="0" collapsed="false">
      <c r="A5" s="9" t="s">
        <v>36</v>
      </c>
      <c r="B5" s="10" t="n">
        <v>70000</v>
      </c>
      <c r="C5" s="10" t="n">
        <v>110000</v>
      </c>
      <c r="D5" s="11" t="n">
        <v>2500</v>
      </c>
      <c r="E5" s="11" t="n">
        <v>5000</v>
      </c>
      <c r="F5" s="12" t="n">
        <f aca="false">D5*Assumptions!$B$4</f>
        <v>145000</v>
      </c>
      <c r="G5" s="12" t="n">
        <f aca="false">E5*Assumptions!$B$4</f>
        <v>290000</v>
      </c>
      <c r="H5" s="13" t="s">
        <v>37</v>
      </c>
      <c r="I5" s="13" t="s">
        <v>38</v>
      </c>
      <c r="J5" s="13" t="s">
        <v>39</v>
      </c>
    </row>
    <row r="6" customFormat="false" ht="87.75" hidden="false" customHeight="true" outlineLevel="0" collapsed="false">
      <c r="A6" s="14" t="s">
        <v>40</v>
      </c>
      <c r="B6" s="15" t="n">
        <v>150000</v>
      </c>
      <c r="C6" s="15" t="n">
        <v>280000</v>
      </c>
      <c r="D6" s="16" t="n">
        <v>6000</v>
      </c>
      <c r="E6" s="16" t="n">
        <v>12000</v>
      </c>
      <c r="F6" s="17" t="n">
        <f aca="false">D6*Assumptions!$B$4</f>
        <v>348000</v>
      </c>
      <c r="G6" s="17" t="n">
        <f aca="false">E6*Assumptions!$B$4</f>
        <v>696000</v>
      </c>
      <c r="H6" s="18" t="s">
        <v>41</v>
      </c>
      <c r="I6" s="18" t="s">
        <v>42</v>
      </c>
      <c r="J6" s="18" t="s">
        <v>43</v>
      </c>
    </row>
    <row r="7" customFormat="false" ht="87.75" hidden="false" customHeight="true" outlineLevel="0" collapsed="false">
      <c r="A7" s="9" t="s">
        <v>44</v>
      </c>
      <c r="B7" s="10" t="n">
        <v>350000</v>
      </c>
      <c r="C7" s="10" t="n">
        <v>700000</v>
      </c>
      <c r="D7" s="11" t="n">
        <v>15000</v>
      </c>
      <c r="E7" s="11" t="n">
        <v>35000</v>
      </c>
      <c r="F7" s="12" t="n">
        <f aca="false">D7*Assumptions!$B$4</f>
        <v>870000</v>
      </c>
      <c r="G7" s="12" t="n">
        <f aca="false">E7*Assumptions!$B$4</f>
        <v>2030000</v>
      </c>
      <c r="H7" s="13" t="s">
        <v>31</v>
      </c>
      <c r="I7" s="13" t="s">
        <v>45</v>
      </c>
      <c r="J7" s="1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5" min="4" style="0" width="11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52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23.85" hidden="false" customHeight="false" outlineLevel="0" collapsed="false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</row>
    <row r="5" customFormat="false" ht="87.75" hidden="false" customHeight="true" outlineLevel="0" collapsed="false">
      <c r="A5" s="9" t="s">
        <v>49</v>
      </c>
      <c r="B5" s="10" t="n">
        <v>45000</v>
      </c>
      <c r="C5" s="10" t="n">
        <v>90000</v>
      </c>
      <c r="D5" s="11" t="n">
        <v>1500</v>
      </c>
      <c r="E5" s="11" t="n">
        <v>3500</v>
      </c>
      <c r="F5" s="12" t="n">
        <f aca="false">D5*Assumptions!$B$4</f>
        <v>87000</v>
      </c>
      <c r="G5" s="12" t="n">
        <f aca="false">E5*Assumptions!$B$4</f>
        <v>203000</v>
      </c>
      <c r="H5" s="13" t="s">
        <v>50</v>
      </c>
      <c r="I5" s="13" t="s">
        <v>51</v>
      </c>
      <c r="J5" s="13" t="s">
        <v>52</v>
      </c>
    </row>
    <row r="6" customFormat="false" ht="87.75" hidden="false" customHeight="true" outlineLevel="0" collapsed="false">
      <c r="A6" s="14" t="s">
        <v>53</v>
      </c>
      <c r="B6" s="15" t="n">
        <v>450000</v>
      </c>
      <c r="C6" s="15" t="n">
        <v>900000</v>
      </c>
      <c r="D6" s="16" t="n">
        <v>10000</v>
      </c>
      <c r="E6" s="16" t="n">
        <v>25000</v>
      </c>
      <c r="F6" s="17" t="n">
        <f aca="false">D6*Assumptions!$B$4</f>
        <v>580000</v>
      </c>
      <c r="G6" s="17" t="n">
        <f aca="false">E6*Assumptions!$B$4</f>
        <v>1450000</v>
      </c>
      <c r="H6" s="18" t="s">
        <v>54</v>
      </c>
      <c r="I6" s="18" t="s">
        <v>55</v>
      </c>
      <c r="J6" s="18" t="s">
        <v>56</v>
      </c>
    </row>
    <row r="7" customFormat="false" ht="87.75" hidden="false" customHeight="true" outlineLevel="0" collapsed="false">
      <c r="A7" s="9" t="s">
        <v>57</v>
      </c>
      <c r="B7" s="10" t="n">
        <v>1000000</v>
      </c>
      <c r="C7" s="10" t="n">
        <v>2500000</v>
      </c>
      <c r="D7" s="11" t="n">
        <v>30000</v>
      </c>
      <c r="E7" s="11" t="n">
        <v>65000</v>
      </c>
      <c r="F7" s="12" t="n">
        <f aca="false">D7*Assumptions!$B$4</f>
        <v>1740000</v>
      </c>
      <c r="G7" s="12" t="n">
        <f aca="false">E7*Assumptions!$B$4</f>
        <v>3770000</v>
      </c>
      <c r="H7" s="13" t="s">
        <v>58</v>
      </c>
      <c r="I7" s="13" t="s">
        <v>59</v>
      </c>
      <c r="J7" s="13" t="s">
        <v>60</v>
      </c>
    </row>
    <row r="8" customFormat="false" ht="87.75" hidden="false" customHeight="true" outlineLevel="0" collapsed="false">
      <c r="A8" s="14" t="s">
        <v>61</v>
      </c>
      <c r="B8" s="15" t="n">
        <v>100000</v>
      </c>
      <c r="C8" s="15" t="n">
        <v>180000</v>
      </c>
      <c r="D8" s="16" t="n">
        <v>3000</v>
      </c>
      <c r="E8" s="16" t="n">
        <v>5500</v>
      </c>
      <c r="F8" s="17" t="n">
        <f aca="false">D8*Assumptions!$B$4</f>
        <v>174000</v>
      </c>
      <c r="G8" s="17" t="n">
        <f aca="false">E8*Assumptions!$B$4</f>
        <v>319000</v>
      </c>
      <c r="H8" s="18" t="s">
        <v>62</v>
      </c>
      <c r="I8" s="18" t="s">
        <v>63</v>
      </c>
      <c r="J8" s="1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5" min="4" style="0" width="12"/>
    <col collapsed="false" customWidth="true" hidden="false" outlineLevel="0" max="6" min="6" style="0" width="44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23.85" hidden="false" customHeight="false" outlineLevel="0" collapsed="false">
      <c r="A4" s="8" t="s">
        <v>67</v>
      </c>
      <c r="B4" s="8" t="s">
        <v>68</v>
      </c>
      <c r="C4" s="8" t="s">
        <v>69</v>
      </c>
      <c r="D4" s="8" t="s">
        <v>15</v>
      </c>
      <c r="E4" s="8" t="s">
        <v>16</v>
      </c>
      <c r="F4" s="8" t="s">
        <v>70</v>
      </c>
      <c r="G4" s="8" t="s">
        <v>71</v>
      </c>
    </row>
    <row r="5" customFormat="false" ht="61.5" hidden="false" customHeight="true" outlineLevel="0" collapsed="false">
      <c r="A5" s="9" t="s">
        <v>72</v>
      </c>
      <c r="B5" s="10" t="n">
        <v>4000</v>
      </c>
      <c r="C5" s="10" t="n">
        <v>8000</v>
      </c>
      <c r="D5" s="11" t="n">
        <v>150</v>
      </c>
      <c r="E5" s="11" t="n">
        <v>300</v>
      </c>
      <c r="F5" s="13" t="s">
        <v>73</v>
      </c>
      <c r="G5" s="13" t="s">
        <v>74</v>
      </c>
    </row>
    <row r="6" customFormat="false" ht="61.5" hidden="false" customHeight="true" outlineLevel="0" collapsed="false">
      <c r="A6" s="14" t="s">
        <v>75</v>
      </c>
      <c r="B6" s="15" t="n">
        <v>12000</v>
      </c>
      <c r="C6" s="15" t="n">
        <v>22000</v>
      </c>
      <c r="D6" s="16" t="n">
        <v>400</v>
      </c>
      <c r="E6" s="16" t="n">
        <v>800</v>
      </c>
      <c r="F6" s="18" t="s">
        <v>76</v>
      </c>
      <c r="G6" s="18" t="s">
        <v>77</v>
      </c>
    </row>
    <row r="7" customFormat="false" ht="61.5" hidden="false" customHeight="true" outlineLevel="0" collapsed="false">
      <c r="A7" s="9" t="s">
        <v>78</v>
      </c>
      <c r="B7" s="10" t="n">
        <v>25000</v>
      </c>
      <c r="C7" s="10" t="n">
        <v>50000</v>
      </c>
      <c r="D7" s="11" t="n">
        <v>900</v>
      </c>
      <c r="E7" s="11" t="n">
        <v>1800</v>
      </c>
      <c r="F7" s="13" t="s">
        <v>79</v>
      </c>
      <c r="G7" s="13" t="s">
        <v>80</v>
      </c>
    </row>
    <row r="8" customFormat="false" ht="61.5" hidden="false" customHeight="true" outlineLevel="0" collapsed="false">
      <c r="A8" s="14" t="s">
        <v>81</v>
      </c>
      <c r="B8" s="15" t="n">
        <v>15000</v>
      </c>
      <c r="C8" s="15" t="n">
        <v>40000</v>
      </c>
      <c r="D8" s="16" t="n">
        <v>500</v>
      </c>
      <c r="E8" s="16" t="n">
        <v>1500</v>
      </c>
      <c r="F8" s="18" t="s">
        <v>82</v>
      </c>
      <c r="G8" s="18" t="s">
        <v>83</v>
      </c>
    </row>
    <row r="9" customFormat="false" ht="61.5" hidden="false" customHeight="true" outlineLevel="0" collapsed="false">
      <c r="A9" s="9" t="s">
        <v>84</v>
      </c>
      <c r="B9" s="10" t="n">
        <v>15000</v>
      </c>
      <c r="C9" s="10" t="n">
        <v>30000</v>
      </c>
      <c r="D9" s="11" t="n">
        <v>500</v>
      </c>
      <c r="E9" s="11" t="n">
        <v>1000</v>
      </c>
      <c r="F9" s="13" t="s">
        <v>85</v>
      </c>
      <c r="G9" s="13" t="s">
        <v>86</v>
      </c>
    </row>
    <row r="10" customFormat="false" ht="61.5" hidden="false" customHeight="true" outlineLevel="0" collapsed="false">
      <c r="A10" s="14" t="s">
        <v>87</v>
      </c>
      <c r="B10" s="18" t="s">
        <v>88</v>
      </c>
      <c r="C10" s="18" t="s">
        <v>88</v>
      </c>
      <c r="D10" s="18" t="s">
        <v>88</v>
      </c>
      <c r="E10" s="18" t="s">
        <v>88</v>
      </c>
      <c r="F10" s="18" t="s">
        <v>89</v>
      </c>
      <c r="G10" s="18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2026-07-24T07:35:45Z</dcterms:created>
  <dc:creator>openpyxl</dc:creator>
  <dc:description/>
  <dc:language>en-US</dc:language>
  <cp:lastModifiedBy/>
  <dcterms:modified xsi:type="dcterms:W3CDTF">2026-07-24T07:35:45Z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